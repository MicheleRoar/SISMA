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leone1/Desktop/CNN/data/"/>
    </mc:Choice>
  </mc:AlternateContent>
  <xr:revisionPtr revIDLastSave="0" documentId="8_{B2E35143-7AFC-F74B-840E-45430A0AEE5F}" xr6:coauthVersionLast="47" xr6:coauthVersionMax="47" xr10:uidLastSave="{00000000-0000-0000-0000-000000000000}"/>
  <bookViews>
    <workbookView xWindow="2780" yWindow="1500" windowWidth="28040" windowHeight="17440" xr2:uid="{3F9E71EF-994A-354B-8616-8B3F18C6B5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</calcChain>
</file>

<file path=xl/sharedStrings.xml><?xml version="1.0" encoding="utf-8"?>
<sst xmlns="http://schemas.openxmlformats.org/spreadsheetml/2006/main" count="276" uniqueCount="121">
  <si>
    <t>Giorno</t>
  </si>
  <si>
    <t>Inizio</t>
  </si>
  <si>
    <t>Fine</t>
  </si>
  <si>
    <t>Durata_min</t>
  </si>
  <si>
    <t>Obiettivo</t>
  </si>
  <si>
    <t>BPM_range</t>
  </si>
  <si>
    <t>%ITA/%INT</t>
  </si>
  <si>
    <t>Energy</t>
  </si>
  <si>
    <t>Danceability</t>
  </si>
  <si>
    <t>Valence</t>
  </si>
  <si>
    <t>Acousticness</t>
  </si>
  <si>
    <t>Instrumentalness</t>
  </si>
  <si>
    <t>Loudness_dB</t>
  </si>
  <si>
    <t>Speechiness</t>
  </si>
  <si>
    <t>Note</t>
  </si>
  <si>
    <t>Lun-Gio</t>
  </si>
  <si>
    <t>Warm-up staff + mood positivo clienti anziani (carte/vino). Comfort e socialità.</t>
  </si>
  <si>
    <t>70–90</t>
  </si>
  <si>
    <t>70% ITA (70% '60–'90, 30% 2000–2025) / 30% INT</t>
  </si>
  <si>
    <t>0.4–0.7</t>
  </si>
  <si>
    <t>0.3–0.6</t>
  </si>
  <si>
    <t>0.6–0.9</t>
  </si>
  <si>
    <t>0.5–0.9</t>
  </si>
  <si>
    <t>Pranzo (fase ordini): variety seeking + acquisti più costosi. Focus archi/orchestrale.</t>
  </si>
  <si>
    <t>100–110 (alto, poi decrescente)</t>
  </si>
  <si>
    <t>~50/50 (non rigido)</t>
  </si>
  <si>
    <t>0.7–0.9</t>
  </si>
  <si>
    <t>0.6–0.8</t>
  </si>
  <si>
    <t>0.2–0.7</t>
  </si>
  <si>
    <t>&lt;0.3</t>
  </si>
  <si>
    <t>Pranzo (fase consumo): rallentare, masticazione comoda, extra-order senza fretta.</t>
  </si>
  <si>
    <t>85–100 (decrescente)</t>
  </si>
  <si>
    <t>Mix ITA/INT</t>
  </si>
  <si>
    <t>0.2–0.5</t>
  </si>
  <si>
    <t>0.5–0.8</t>
  </si>
  <si>
    <t>Walk-in (momento morto): stimolare extra consumi, socialità lenta, scontrino medio ↑.</t>
  </si>
  <si>
    <t>75–95</t>
  </si>
  <si>
    <t>0.3–0.7</t>
  </si>
  <si>
    <t>Aperitivi + attesa tavolo: consumi ↑ e vini più costosi, energia alta ma elegante.</t>
  </si>
  <si>
    <t>95–110</t>
  </si>
  <si>
    <t>0.65–0.9</t>
  </si>
  <si>
    <t>0.5–0.75</t>
  </si>
  <si>
    <t>0.7–0.95</t>
  </si>
  <si>
    <t>0.1–0.4</t>
  </si>
  <si>
    <t>&lt;0.2</t>
  </si>
  <si>
    <t>Cena Round 1 (ordini): variety seeking + piatti premium. Focus archi/fiati.</t>
  </si>
  <si>
    <t>95–115</t>
  </si>
  <si>
    <t>0.6–0.85</t>
  </si>
  <si>
    <t>0.5–0.85</t>
  </si>
  <si>
    <t>&lt;0.1</t>
  </si>
  <si>
    <t>Cena Round 1 (consumo): ritmo sostenuto, conversazione, permanenza controllata.</t>
  </si>
  <si>
    <t>90–105</t>
  </si>
  <si>
    <t>0.45–0.7</t>
  </si>
  <si>
    <t>0.4–0.75</t>
  </si>
  <si>
    <t>Cena Round 2: comfort + variety seeking (spesa ↑ senza stress).</t>
  </si>
  <si>
    <t>85–100</t>
  </si>
  <si>
    <t>0.35–0.6</t>
  </si>
  <si>
    <t>0.3–0.65</t>
  </si>
  <si>
    <t>Bar after dinner: vendite bar (lounge/funky sofisticato).</t>
  </si>
  <si>
    <t>80–95</t>
  </si>
  <si>
    <t>0.3–0.55</t>
  </si>
  <si>
    <t>0.55–0.75</t>
  </si>
  <si>
    <t>0.1–0.6</t>
  </si>
  <si>
    <t>Deflusso/chiusura: calma, uscita senza schiamazzi.</t>
  </si>
  <si>
    <t>60–70</t>
  </si>
  <si>
    <t>0.1–0.35</t>
  </si>
  <si>
    <t>0.1–0.3</t>
  </si>
  <si>
    <t>0.6–0.95</t>
  </si>
  <si>
    <t>0.3–0.9</t>
  </si>
  <si>
    <t>Ven</t>
  </si>
  <si>
    <t>Aperitivo spinta alta: consumi ↑, cocktail/vini costosi, pop/disco/funky (30–40enni).</t>
  </si>
  <si>
    <t>0.75–0.98</t>
  </si>
  <si>
    <t>0.8–1.0</t>
  </si>
  <si>
    <t>0.05–0.3</t>
  </si>
  <si>
    <t>Cena (ordini premium): piatti premium, eleganza post-aperitivo.</t>
  </si>
  <si>
    <t>Cena vivace: vibe pop/disco/funky, energia più alta di Lun-Gio.</t>
  </si>
  <si>
    <t>0.55–0.8</t>
  </si>
  <si>
    <t>0.15–0.45</t>
  </si>
  <si>
    <t>Comfort + variety seeking (vivace ma confortevole).</t>
  </si>
  <si>
    <t>0.25–0.55</t>
  </si>
  <si>
    <t>Bar after dinner energico: invito a rimanere e consumare.</t>
  </si>
  <si>
    <t>0.65–0.85</t>
  </si>
  <si>
    <t>0.1–0.5</t>
  </si>
  <si>
    <t>Deflusso cool: chiusura lounge/chill con residuo energia.</t>
  </si>
  <si>
    <t>0.25–0.5</t>
  </si>
  <si>
    <t>0.25–0.7</t>
  </si>
  <si>
    <t>Sab</t>
  </si>
  <si>
    <t>Pranzo famiglie lungo: comfort familiare + variety seeking verso prezzi più alti.</t>
  </si>
  <si>
    <t>0.35–0.65</t>
  </si>
  <si>
    <t>0.2–0.45</t>
  </si>
  <si>
    <t>0.55–0.9</t>
  </si>
  <si>
    <t>0.15–0.5</t>
  </si>
  <si>
    <t>Post-pranzo/pomeriggio: comfort + leggera vivacità.</t>
  </si>
  <si>
    <t>85–110</t>
  </si>
  <si>
    <t>0.45–0.8</t>
  </si>
  <si>
    <t>Pre-aperitivo elegante: introdurre serata con energia soft premium.</t>
  </si>
  <si>
    <t>85–105</t>
  </si>
  <si>
    <t>0.4–0.65</t>
  </si>
  <si>
    <t>Cena parte 1 (energetica premium): spesa media ↑, comfort elegante sostenuto.</t>
  </si>
  <si>
    <t>90–110</t>
  </si>
  <si>
    <t>0.45–0.75</t>
  </si>
  <si>
    <t>Cena parte 2 (comfort): spesa media ↑ con energia più contenuta.</t>
  </si>
  <si>
    <t>90–110 (tendenza bassa)</t>
  </si>
  <si>
    <t>0.2–0.4</t>
  </si>
  <si>
    <t>0.55–0.85</t>
  </si>
  <si>
    <t>Deflusso sofisticato: chiusura elegante e ordinata.</t>
  </si>
  <si>
    <t>0.4–0.8</t>
  </si>
  <si>
    <t>0.3–0.8</t>
  </si>
  <si>
    <t>Dom</t>
  </si>
  <si>
    <t>Aperitivi alto-spendente: sostenere spesa alta, vibe domenica italiana (De André presente).</t>
  </si>
  <si>
    <t>80–100</t>
  </si>
  <si>
    <t>ITA forte (De André) + mix R&amp;B/Jazz</t>
  </si>
  <si>
    <t>0.4–0.6</t>
  </si>
  <si>
    <t>0.05–0.4</t>
  </si>
  <si>
    <t>Regola: 3 brani De André in fascia; max 15 brani/giorno distribuiti prime fasce</t>
  </si>
  <si>
    <t>Pranzo lungo leggero (detox): comfort + invogliare a spendere di più senza appesantire.</t>
  </si>
  <si>
    <t>ITA forte (De André) + Soul</t>
  </si>
  <si>
    <t>0.05–0.35</t>
  </si>
  <si>
    <t>Aperitivi turistici: permanenza ↑ e consumi ↑ (bar).</t>
  </si>
  <si>
    <t>≤100</t>
  </si>
  <si>
    <t>Mix ITA/INT (R&amp;B/Soul/Disco)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</si>
</sst>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20" fontId="1" fillId="0" borderId="0" xfId="0" applyNumberFormat="1" applyFont="1"/>
    <xf numFmtId="0" fontId="3" fillId="0" borderId="0" xfId="0" applyFont="1"/>
    <xf numFmtId="4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BFA9-1134-CE4C-AAE3-1716FC654DEE}">
  <dimension ref="A1:O28"/>
  <sheetViews>
    <sheetView tabSelected="1" workbookViewId="0">
      <selection activeCell="Q19" sqref="Q19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>
        <v>0.45833333333333331</v>
      </c>
      <c r="C2" s="3">
        <v>0.52083333333333337</v>
      </c>
      <c r="D2" s="2">
        <v>90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4"/>
      <c r="M2" s="4"/>
      <c r="N2" s="4"/>
      <c r="O2" s="4"/>
    </row>
    <row r="3" spans="1:15" x14ac:dyDescent="0.2">
      <c r="A3" s="2" t="s">
        <v>15</v>
      </c>
      <c r="B3" s="3">
        <v>0.52083333333333337</v>
      </c>
      <c r="C3" s="3">
        <v>0.5625</v>
      </c>
      <c r="D3" s="2">
        <v>60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26</v>
      </c>
      <c r="K3" s="2" t="s">
        <v>21</v>
      </c>
      <c r="L3" s="2" t="s">
        <v>28</v>
      </c>
      <c r="M3" s="2">
        <f>-10 / -5</f>
        <v>2</v>
      </c>
      <c r="N3" s="2" t="s">
        <v>29</v>
      </c>
      <c r="O3" s="4"/>
    </row>
    <row r="4" spans="1:15" x14ac:dyDescent="0.2">
      <c r="A4" s="2" t="s">
        <v>15</v>
      </c>
      <c r="B4" s="3">
        <v>0.5625</v>
      </c>
      <c r="C4" s="3">
        <v>0.625</v>
      </c>
      <c r="D4" s="2">
        <v>90</v>
      </c>
      <c r="E4" s="2" t="s">
        <v>30</v>
      </c>
      <c r="F4" s="2" t="s">
        <v>31</v>
      </c>
      <c r="G4" s="2" t="s">
        <v>32</v>
      </c>
      <c r="H4" s="2" t="s">
        <v>20</v>
      </c>
      <c r="I4" s="2" t="s">
        <v>33</v>
      </c>
      <c r="J4" s="2" t="s">
        <v>34</v>
      </c>
      <c r="K4" s="2" t="s">
        <v>19</v>
      </c>
      <c r="L4" s="4"/>
      <c r="M4" s="4"/>
      <c r="N4" s="4"/>
      <c r="O4" s="4"/>
    </row>
    <row r="5" spans="1:15" x14ac:dyDescent="0.2">
      <c r="A5" s="2" t="s">
        <v>15</v>
      </c>
      <c r="B5" s="3">
        <v>0.625</v>
      </c>
      <c r="C5" s="3">
        <v>0.72916666666666663</v>
      </c>
      <c r="D5" s="2">
        <v>150</v>
      </c>
      <c r="E5" s="2" t="s">
        <v>35</v>
      </c>
      <c r="F5" s="2" t="s">
        <v>36</v>
      </c>
      <c r="G5" s="2" t="s">
        <v>32</v>
      </c>
      <c r="H5" s="2" t="s">
        <v>19</v>
      </c>
      <c r="I5" s="2" t="s">
        <v>20</v>
      </c>
      <c r="J5" s="2" t="s">
        <v>21</v>
      </c>
      <c r="K5" s="2" t="s">
        <v>37</v>
      </c>
      <c r="L5" s="4"/>
      <c r="M5" s="4"/>
      <c r="N5" s="4"/>
      <c r="O5" s="4"/>
    </row>
    <row r="6" spans="1:15" x14ac:dyDescent="0.2">
      <c r="A6" s="2" t="s">
        <v>15</v>
      </c>
      <c r="B6" s="3">
        <v>0.72916666666666663</v>
      </c>
      <c r="C6" s="3">
        <v>0.79166666666666663</v>
      </c>
      <c r="D6" s="2">
        <v>90</v>
      </c>
      <c r="E6" s="2" t="s">
        <v>38</v>
      </c>
      <c r="F6" s="2" t="s">
        <v>39</v>
      </c>
      <c r="G6" s="2" t="s">
        <v>32</v>
      </c>
      <c r="H6" s="2" t="s">
        <v>40</v>
      </c>
      <c r="I6" s="2" t="s">
        <v>41</v>
      </c>
      <c r="J6" s="2" t="s">
        <v>42</v>
      </c>
      <c r="K6" s="2" t="s">
        <v>20</v>
      </c>
      <c r="L6" s="2" t="s">
        <v>43</v>
      </c>
      <c r="M6" s="2">
        <f>-7 / -4</f>
        <v>1.75</v>
      </c>
      <c r="N6" s="2" t="s">
        <v>44</v>
      </c>
      <c r="O6" s="4"/>
    </row>
    <row r="7" spans="1:15" x14ac:dyDescent="0.2">
      <c r="A7" s="2" t="s">
        <v>15</v>
      </c>
      <c r="B7" s="3">
        <v>0.79166666666666663</v>
      </c>
      <c r="C7" s="3">
        <v>0.83333333333333337</v>
      </c>
      <c r="D7" s="2">
        <v>60</v>
      </c>
      <c r="E7" s="2" t="s">
        <v>45</v>
      </c>
      <c r="F7" s="2" t="s">
        <v>46</v>
      </c>
      <c r="G7" s="2" t="s">
        <v>32</v>
      </c>
      <c r="H7" s="2" t="s">
        <v>47</v>
      </c>
      <c r="I7" s="2" t="s">
        <v>19</v>
      </c>
      <c r="J7" s="2" t="s">
        <v>42</v>
      </c>
      <c r="K7" s="2" t="s">
        <v>48</v>
      </c>
      <c r="L7" s="2" t="s">
        <v>43</v>
      </c>
      <c r="M7" s="2">
        <f>-7 / -4</f>
        <v>1.75</v>
      </c>
      <c r="N7" s="2" t="s">
        <v>49</v>
      </c>
      <c r="O7" s="4"/>
    </row>
    <row r="8" spans="1:15" x14ac:dyDescent="0.2">
      <c r="A8" s="2" t="s">
        <v>15</v>
      </c>
      <c r="B8" s="3">
        <v>0.83333333333333337</v>
      </c>
      <c r="C8" s="3">
        <v>0.875</v>
      </c>
      <c r="D8" s="2">
        <v>60</v>
      </c>
      <c r="E8" s="2" t="s">
        <v>50</v>
      </c>
      <c r="F8" s="2" t="s">
        <v>51</v>
      </c>
      <c r="G8" s="2" t="s">
        <v>32</v>
      </c>
      <c r="H8" s="2" t="s">
        <v>52</v>
      </c>
      <c r="I8" s="2" t="s">
        <v>20</v>
      </c>
      <c r="J8" s="2" t="s">
        <v>47</v>
      </c>
      <c r="K8" s="2" t="s">
        <v>53</v>
      </c>
      <c r="L8" s="4"/>
      <c r="M8" s="2">
        <f>-9 / -6</f>
        <v>1.5</v>
      </c>
      <c r="N8" s="2" t="s">
        <v>49</v>
      </c>
      <c r="O8" s="4"/>
    </row>
    <row r="9" spans="1:15" x14ac:dyDescent="0.2">
      <c r="A9" s="2" t="s">
        <v>15</v>
      </c>
      <c r="B9" s="3">
        <v>0.875</v>
      </c>
      <c r="C9" s="3">
        <v>0.91666666666666663</v>
      </c>
      <c r="D9" s="2">
        <v>60</v>
      </c>
      <c r="E9" s="2" t="s">
        <v>54</v>
      </c>
      <c r="F9" s="2" t="s">
        <v>55</v>
      </c>
      <c r="G9" s="2" t="s">
        <v>32</v>
      </c>
      <c r="H9" s="2" t="s">
        <v>56</v>
      </c>
      <c r="I9" s="2" t="s">
        <v>57</v>
      </c>
      <c r="J9" s="2" t="s">
        <v>40</v>
      </c>
      <c r="K9" s="2" t="s">
        <v>37</v>
      </c>
      <c r="L9" s="4"/>
      <c r="M9" s="2">
        <f>-10 / -7</f>
        <v>1.4285714285714286</v>
      </c>
      <c r="N9" s="2" t="s">
        <v>49</v>
      </c>
      <c r="O9" s="4"/>
    </row>
    <row r="10" spans="1:15" x14ac:dyDescent="0.2">
      <c r="A10" s="2" t="s">
        <v>15</v>
      </c>
      <c r="B10" s="3">
        <v>0.91666666666666663</v>
      </c>
      <c r="C10" s="3">
        <v>0.95833333333333337</v>
      </c>
      <c r="D10" s="2">
        <v>60</v>
      </c>
      <c r="E10" s="2" t="s">
        <v>58</v>
      </c>
      <c r="F10" s="2" t="s">
        <v>59</v>
      </c>
      <c r="G10" s="2" t="s">
        <v>32</v>
      </c>
      <c r="H10" s="2" t="s">
        <v>60</v>
      </c>
      <c r="I10" s="2" t="s">
        <v>61</v>
      </c>
      <c r="J10" s="2" t="s">
        <v>34</v>
      </c>
      <c r="K10" s="2" t="s">
        <v>33</v>
      </c>
      <c r="L10" s="2" t="s">
        <v>62</v>
      </c>
      <c r="M10" s="2">
        <f>-11 / -7</f>
        <v>1.5714285714285714</v>
      </c>
      <c r="N10" s="2" t="s">
        <v>49</v>
      </c>
      <c r="O10" s="4"/>
    </row>
    <row r="11" spans="1:15" x14ac:dyDescent="0.2">
      <c r="A11" s="2" t="s">
        <v>15</v>
      </c>
      <c r="B11" s="3">
        <v>0.95833333333333337</v>
      </c>
      <c r="C11" s="5">
        <v>1</v>
      </c>
      <c r="D11" s="2">
        <v>60</v>
      </c>
      <c r="E11" s="2" t="s">
        <v>63</v>
      </c>
      <c r="F11" s="2" t="s">
        <v>64</v>
      </c>
      <c r="G11" s="2" t="s">
        <v>32</v>
      </c>
      <c r="H11" s="2" t="s">
        <v>65</v>
      </c>
      <c r="I11" s="2" t="s">
        <v>66</v>
      </c>
      <c r="J11" s="2" t="s">
        <v>57</v>
      </c>
      <c r="K11" s="2" t="s">
        <v>67</v>
      </c>
      <c r="L11" s="2" t="s">
        <v>68</v>
      </c>
      <c r="M11" s="2">
        <f>-15 / -10</f>
        <v>1.5</v>
      </c>
      <c r="N11" s="2" t="s">
        <v>49</v>
      </c>
      <c r="O11" s="4"/>
    </row>
    <row r="12" spans="1:15" x14ac:dyDescent="0.2">
      <c r="A12" s="2" t="s">
        <v>69</v>
      </c>
      <c r="B12" s="3">
        <v>0.72916666666666663</v>
      </c>
      <c r="C12" s="3">
        <v>0.79166666666666663</v>
      </c>
      <c r="D12" s="2">
        <v>90</v>
      </c>
      <c r="E12" s="2" t="s">
        <v>70</v>
      </c>
      <c r="F12" s="2" t="s">
        <v>39</v>
      </c>
      <c r="G12" s="2" t="s">
        <v>32</v>
      </c>
      <c r="H12" s="2" t="s">
        <v>71</v>
      </c>
      <c r="I12" s="2" t="s">
        <v>26</v>
      </c>
      <c r="J12" s="2" t="s">
        <v>72</v>
      </c>
      <c r="K12" s="2" t="s">
        <v>43</v>
      </c>
      <c r="L12" s="2" t="s">
        <v>73</v>
      </c>
      <c r="M12" s="2">
        <f>-6 / -3</f>
        <v>2</v>
      </c>
      <c r="N12" s="2" t="s">
        <v>49</v>
      </c>
      <c r="O12" s="4"/>
    </row>
    <row r="13" spans="1:15" x14ac:dyDescent="0.2">
      <c r="A13" s="2" t="s">
        <v>69</v>
      </c>
      <c r="B13" s="3">
        <v>0.79166666666666663</v>
      </c>
      <c r="C13" s="3">
        <v>0.83333333333333337</v>
      </c>
      <c r="D13" s="2">
        <v>60</v>
      </c>
      <c r="E13" s="2" t="s">
        <v>74</v>
      </c>
      <c r="F13" s="2" t="s">
        <v>46</v>
      </c>
      <c r="G13" s="2" t="s">
        <v>32</v>
      </c>
      <c r="H13" s="2" t="s">
        <v>47</v>
      </c>
      <c r="I13" s="2" t="s">
        <v>19</v>
      </c>
      <c r="J13" s="2" t="s">
        <v>42</v>
      </c>
      <c r="K13" s="2" t="s">
        <v>19</v>
      </c>
      <c r="L13" s="2" t="s">
        <v>43</v>
      </c>
      <c r="M13" s="2">
        <f>-7 / -4</f>
        <v>1.75</v>
      </c>
      <c r="N13" s="2" t="s">
        <v>49</v>
      </c>
      <c r="O13" s="4"/>
    </row>
    <row r="14" spans="1:15" x14ac:dyDescent="0.2">
      <c r="A14" s="2" t="s">
        <v>69</v>
      </c>
      <c r="B14" s="3">
        <v>0.83333333333333337</v>
      </c>
      <c r="C14" s="3">
        <v>0.875</v>
      </c>
      <c r="D14" s="2">
        <v>60</v>
      </c>
      <c r="E14" s="2" t="s">
        <v>75</v>
      </c>
      <c r="F14" s="2" t="s">
        <v>36</v>
      </c>
      <c r="G14" s="2" t="s">
        <v>32</v>
      </c>
      <c r="H14" s="2" t="s">
        <v>76</v>
      </c>
      <c r="I14" s="2" t="s">
        <v>41</v>
      </c>
      <c r="J14" s="2" t="s">
        <v>71</v>
      </c>
      <c r="K14" s="2" t="s">
        <v>77</v>
      </c>
      <c r="L14" s="2" t="s">
        <v>73</v>
      </c>
      <c r="M14" s="2">
        <f>-8 / -5</f>
        <v>1.6</v>
      </c>
      <c r="N14" s="2" t="s">
        <v>49</v>
      </c>
      <c r="O14" s="4"/>
    </row>
    <row r="15" spans="1:15" x14ac:dyDescent="0.2">
      <c r="A15" s="2" t="s">
        <v>69</v>
      </c>
      <c r="B15" s="3">
        <v>0.875</v>
      </c>
      <c r="C15" s="3">
        <v>0.91666666666666663</v>
      </c>
      <c r="D15" s="2">
        <v>60</v>
      </c>
      <c r="E15" s="2" t="s">
        <v>78</v>
      </c>
      <c r="F15" s="2" t="s">
        <v>55</v>
      </c>
      <c r="G15" s="2" t="s">
        <v>32</v>
      </c>
      <c r="H15" s="2" t="s">
        <v>52</v>
      </c>
      <c r="I15" s="2" t="s">
        <v>19</v>
      </c>
      <c r="J15" s="2" t="s">
        <v>42</v>
      </c>
      <c r="K15" s="2" t="s">
        <v>79</v>
      </c>
      <c r="L15" s="4"/>
      <c r="M15" s="2">
        <f>-9 / -6</f>
        <v>1.5</v>
      </c>
      <c r="N15" s="2" t="s">
        <v>49</v>
      </c>
      <c r="O15" s="4"/>
    </row>
    <row r="16" spans="1:15" x14ac:dyDescent="0.2">
      <c r="A16" s="2" t="s">
        <v>69</v>
      </c>
      <c r="B16" s="3">
        <v>0.91666666666666663</v>
      </c>
      <c r="C16" s="3">
        <v>0.95833333333333337</v>
      </c>
      <c r="D16" s="2">
        <v>60</v>
      </c>
      <c r="E16" s="2" t="s">
        <v>80</v>
      </c>
      <c r="F16" s="2" t="s">
        <v>59</v>
      </c>
      <c r="G16" s="2" t="s">
        <v>32</v>
      </c>
      <c r="H16" s="2" t="s">
        <v>41</v>
      </c>
      <c r="I16" s="2" t="s">
        <v>81</v>
      </c>
      <c r="J16" s="2" t="s">
        <v>42</v>
      </c>
      <c r="K16" s="2" t="s">
        <v>43</v>
      </c>
      <c r="L16" s="2" t="s">
        <v>82</v>
      </c>
      <c r="M16" s="2">
        <f>-9 / -6</f>
        <v>1.5</v>
      </c>
      <c r="N16" s="2" t="s">
        <v>49</v>
      </c>
      <c r="O16" s="4"/>
    </row>
    <row r="17" spans="1:15" x14ac:dyDescent="0.2">
      <c r="A17" s="2" t="s">
        <v>69</v>
      </c>
      <c r="B17" s="3">
        <v>0.95833333333333337</v>
      </c>
      <c r="C17" s="5">
        <v>1</v>
      </c>
      <c r="D17" s="2">
        <v>60</v>
      </c>
      <c r="E17" s="2" t="s">
        <v>83</v>
      </c>
      <c r="F17" s="2" t="s">
        <v>64</v>
      </c>
      <c r="G17" s="2" t="s">
        <v>32</v>
      </c>
      <c r="H17" s="2" t="s">
        <v>84</v>
      </c>
      <c r="I17" s="2" t="s">
        <v>60</v>
      </c>
      <c r="J17" s="2" t="s">
        <v>34</v>
      </c>
      <c r="K17" s="2" t="s">
        <v>79</v>
      </c>
      <c r="L17" s="2" t="s">
        <v>85</v>
      </c>
      <c r="M17" s="2">
        <f>-12 / -8</f>
        <v>1.5</v>
      </c>
      <c r="N17" s="2" t="s">
        <v>49</v>
      </c>
      <c r="O17" s="4"/>
    </row>
    <row r="18" spans="1:15" x14ac:dyDescent="0.2">
      <c r="A18" s="2" t="s">
        <v>86</v>
      </c>
      <c r="B18" s="3">
        <v>0.45833333333333331</v>
      </c>
      <c r="C18" s="3">
        <v>0.60416666666666663</v>
      </c>
      <c r="D18" s="2">
        <v>210</v>
      </c>
      <c r="E18" s="2" t="s">
        <v>87</v>
      </c>
      <c r="F18" s="2" t="s">
        <v>36</v>
      </c>
      <c r="G18" s="2" t="s">
        <v>32</v>
      </c>
      <c r="H18" s="2" t="s">
        <v>88</v>
      </c>
      <c r="I18" s="2" t="s">
        <v>89</v>
      </c>
      <c r="J18" s="2" t="s">
        <v>47</v>
      </c>
      <c r="K18" s="2" t="s">
        <v>90</v>
      </c>
      <c r="L18" s="2" t="s">
        <v>91</v>
      </c>
      <c r="M18" s="2">
        <f>-12 / -8</f>
        <v>1.5</v>
      </c>
      <c r="N18" s="2" t="s">
        <v>49</v>
      </c>
      <c r="O18" s="4"/>
    </row>
    <row r="19" spans="1:15" x14ac:dyDescent="0.2">
      <c r="A19" s="2" t="s">
        <v>86</v>
      </c>
      <c r="B19" s="3">
        <v>0.60416666666666663</v>
      </c>
      <c r="C19" s="3">
        <v>0.72916666666666663</v>
      </c>
      <c r="D19" s="2">
        <v>180</v>
      </c>
      <c r="E19" s="2" t="s">
        <v>92</v>
      </c>
      <c r="F19" s="2" t="s">
        <v>93</v>
      </c>
      <c r="G19" s="2" t="s">
        <v>32</v>
      </c>
      <c r="H19" s="2" t="s">
        <v>52</v>
      </c>
      <c r="I19" s="2" t="s">
        <v>60</v>
      </c>
      <c r="J19" s="2" t="s">
        <v>40</v>
      </c>
      <c r="K19" s="2" t="s">
        <v>94</v>
      </c>
      <c r="L19" s="2" t="s">
        <v>43</v>
      </c>
      <c r="M19" s="2">
        <f>-11 / -7</f>
        <v>1.5714285714285714</v>
      </c>
      <c r="N19" s="2" t="s">
        <v>49</v>
      </c>
      <c r="O19" s="4"/>
    </row>
    <row r="20" spans="1:15" x14ac:dyDescent="0.2">
      <c r="A20" s="2" t="s">
        <v>86</v>
      </c>
      <c r="B20" s="3">
        <v>0.72916666666666663</v>
      </c>
      <c r="C20" s="3">
        <v>0.79166666666666663</v>
      </c>
      <c r="D20" s="2">
        <v>90</v>
      </c>
      <c r="E20" s="2" t="s">
        <v>95</v>
      </c>
      <c r="F20" s="2" t="s">
        <v>96</v>
      </c>
      <c r="G20" s="2" t="s">
        <v>32</v>
      </c>
      <c r="H20" s="2" t="s">
        <v>61</v>
      </c>
      <c r="I20" s="2" t="s">
        <v>97</v>
      </c>
      <c r="J20" s="2" t="s">
        <v>26</v>
      </c>
      <c r="K20" s="2" t="s">
        <v>34</v>
      </c>
      <c r="L20" s="2" t="s">
        <v>91</v>
      </c>
      <c r="M20" s="2">
        <f>-10 / -6</f>
        <v>1.6666666666666667</v>
      </c>
      <c r="N20" s="2" t="s">
        <v>49</v>
      </c>
      <c r="O20" s="4"/>
    </row>
    <row r="21" spans="1:15" x14ac:dyDescent="0.2">
      <c r="A21" s="2" t="s">
        <v>86</v>
      </c>
      <c r="B21" s="3">
        <v>0.79166666666666663</v>
      </c>
      <c r="C21" s="3">
        <v>0.89583333333333337</v>
      </c>
      <c r="D21" s="2">
        <v>150</v>
      </c>
      <c r="E21" s="2" t="s">
        <v>98</v>
      </c>
      <c r="F21" s="2" t="s">
        <v>99</v>
      </c>
      <c r="G21" s="2" t="s">
        <v>32</v>
      </c>
      <c r="H21" s="2" t="s">
        <v>76</v>
      </c>
      <c r="I21" s="2" t="s">
        <v>52</v>
      </c>
      <c r="J21" s="2" t="s">
        <v>42</v>
      </c>
      <c r="K21" s="2" t="s">
        <v>100</v>
      </c>
      <c r="L21" s="2" t="s">
        <v>91</v>
      </c>
      <c r="M21" s="2">
        <f>-10 / -6</f>
        <v>1.6666666666666667</v>
      </c>
      <c r="N21" s="2" t="s">
        <v>49</v>
      </c>
      <c r="O21" s="4"/>
    </row>
    <row r="22" spans="1:15" x14ac:dyDescent="0.2">
      <c r="A22" s="2" t="s">
        <v>86</v>
      </c>
      <c r="B22" s="3">
        <v>0.89583333333333337</v>
      </c>
      <c r="C22" s="3">
        <v>0.95833333333333337</v>
      </c>
      <c r="D22" s="2">
        <v>90</v>
      </c>
      <c r="E22" s="2" t="s">
        <v>101</v>
      </c>
      <c r="F22" s="2" t="s">
        <v>102</v>
      </c>
      <c r="G22" s="2" t="s">
        <v>32</v>
      </c>
      <c r="H22" s="2" t="s">
        <v>88</v>
      </c>
      <c r="I22" s="2" t="s">
        <v>103</v>
      </c>
      <c r="J22" s="2" t="s">
        <v>104</v>
      </c>
      <c r="K22" s="2" t="s">
        <v>21</v>
      </c>
      <c r="L22" s="2" t="s">
        <v>85</v>
      </c>
      <c r="M22" s="2">
        <f>-12 / -8</f>
        <v>1.5</v>
      </c>
      <c r="N22" s="2" t="s">
        <v>49</v>
      </c>
      <c r="O22" s="4"/>
    </row>
    <row r="23" spans="1:15" x14ac:dyDescent="0.2">
      <c r="A23" s="2" t="s">
        <v>86</v>
      </c>
      <c r="B23" s="3">
        <v>0.95833333333333337</v>
      </c>
      <c r="C23" s="5">
        <v>1</v>
      </c>
      <c r="D23" s="2">
        <v>60</v>
      </c>
      <c r="E23" s="2" t="s">
        <v>105</v>
      </c>
      <c r="F23" s="2" t="s">
        <v>64</v>
      </c>
      <c r="G23" s="2" t="s">
        <v>32</v>
      </c>
      <c r="H23" s="2" t="s">
        <v>89</v>
      </c>
      <c r="I23" s="2" t="s">
        <v>84</v>
      </c>
      <c r="J23" s="2" t="s">
        <v>100</v>
      </c>
      <c r="K23" s="2" t="s">
        <v>106</v>
      </c>
      <c r="L23" s="2" t="s">
        <v>107</v>
      </c>
      <c r="M23" s="2">
        <f>-15 / -10</f>
        <v>1.5</v>
      </c>
      <c r="N23" s="2" t="s">
        <v>49</v>
      </c>
      <c r="O23" s="4"/>
    </row>
    <row r="24" spans="1:15" x14ac:dyDescent="0.2">
      <c r="A24" s="2" t="s">
        <v>108</v>
      </c>
      <c r="B24" s="3">
        <v>0.45833333333333331</v>
      </c>
      <c r="C24" s="3">
        <v>0.54166666666666663</v>
      </c>
      <c r="D24" s="2">
        <v>120</v>
      </c>
      <c r="E24" s="2" t="s">
        <v>109</v>
      </c>
      <c r="F24" s="2" t="s">
        <v>110</v>
      </c>
      <c r="G24" s="2" t="s">
        <v>111</v>
      </c>
      <c r="H24" s="2" t="s">
        <v>97</v>
      </c>
      <c r="I24" s="2" t="s">
        <v>112</v>
      </c>
      <c r="J24" s="2" t="s">
        <v>76</v>
      </c>
      <c r="K24" s="2" t="s">
        <v>100</v>
      </c>
      <c r="L24" s="2" t="s">
        <v>113</v>
      </c>
      <c r="M24" s="2">
        <f>-9 / -6</f>
        <v>1.5</v>
      </c>
      <c r="N24" s="2" t="s">
        <v>49</v>
      </c>
      <c r="O24" s="2" t="s">
        <v>114</v>
      </c>
    </row>
    <row r="25" spans="1:15" x14ac:dyDescent="0.2">
      <c r="A25" s="2" t="s">
        <v>108</v>
      </c>
      <c r="B25" s="3">
        <v>0.54166666666666663</v>
      </c>
      <c r="C25" s="3">
        <v>0.66666666666666663</v>
      </c>
      <c r="D25" s="2">
        <v>180</v>
      </c>
      <c r="E25" s="2" t="s">
        <v>115</v>
      </c>
      <c r="F25" s="2" t="s">
        <v>36</v>
      </c>
      <c r="G25" s="2" t="s">
        <v>116</v>
      </c>
      <c r="H25" s="2" t="s">
        <v>60</v>
      </c>
      <c r="I25" s="2" t="s">
        <v>84</v>
      </c>
      <c r="J25" s="2" t="s">
        <v>41</v>
      </c>
      <c r="K25" s="2" t="s">
        <v>40</v>
      </c>
      <c r="L25" s="2" t="s">
        <v>117</v>
      </c>
      <c r="M25" s="2">
        <f>-14 / -9</f>
        <v>1.5555555555555556</v>
      </c>
      <c r="N25" s="2" t="s">
        <v>49</v>
      </c>
      <c r="O25" s="4"/>
    </row>
    <row r="26" spans="1:15" x14ac:dyDescent="0.2">
      <c r="A26" s="2" t="s">
        <v>108</v>
      </c>
      <c r="B26" s="3">
        <v>0.66666666666666663</v>
      </c>
      <c r="C26" s="3">
        <v>0.79166666666666663</v>
      </c>
      <c r="D26" s="2">
        <v>180</v>
      </c>
      <c r="E26" s="2" t="s">
        <v>118</v>
      </c>
      <c r="F26" s="2" t="s">
        <v>119</v>
      </c>
      <c r="G26" s="2" t="s">
        <v>120</v>
      </c>
      <c r="H26" s="2" t="s">
        <v>81</v>
      </c>
      <c r="I26" s="2" t="s">
        <v>47</v>
      </c>
      <c r="J26" s="2" t="s">
        <v>42</v>
      </c>
      <c r="K26" s="2" t="s">
        <v>79</v>
      </c>
      <c r="L26" s="2" t="s">
        <v>117</v>
      </c>
      <c r="M26" s="2">
        <f>-8 / -5</f>
        <v>1.6</v>
      </c>
      <c r="N26" s="2" t="s">
        <v>49</v>
      </c>
      <c r="O26" s="4"/>
    </row>
    <row r="27" spans="1:15" x14ac:dyDescent="0.2">
      <c r="A27" s="2" t="s">
        <v>108</v>
      </c>
      <c r="B27" s="3">
        <v>0.79166666666666663</v>
      </c>
      <c r="C27" s="3">
        <v>0.91666666666666663</v>
      </c>
      <c r="D27" s="2">
        <v>180</v>
      </c>
      <c r="E27" s="2" t="s">
        <v>54</v>
      </c>
      <c r="F27" s="2" t="s">
        <v>55</v>
      </c>
      <c r="G27" s="2" t="s">
        <v>32</v>
      </c>
      <c r="H27" s="2" t="s">
        <v>56</v>
      </c>
      <c r="I27" s="2" t="s">
        <v>57</v>
      </c>
      <c r="J27" s="2" t="s">
        <v>40</v>
      </c>
      <c r="K27" s="2" t="s">
        <v>37</v>
      </c>
      <c r="L27" s="4"/>
      <c r="M27" s="2">
        <f>-10 / -7</f>
        <v>1.4285714285714286</v>
      </c>
      <c r="N27" s="2" t="s">
        <v>49</v>
      </c>
      <c r="O27" s="4"/>
    </row>
    <row r="28" spans="1:15" x14ac:dyDescent="0.2">
      <c r="A28" s="2" t="s">
        <v>108</v>
      </c>
      <c r="B28" s="3">
        <v>0.91666666666666663</v>
      </c>
      <c r="C28" s="5">
        <v>1</v>
      </c>
      <c r="D28" s="2">
        <v>120</v>
      </c>
      <c r="E28" s="2" t="s">
        <v>63</v>
      </c>
      <c r="F28" s="2" t="s">
        <v>64</v>
      </c>
      <c r="G28" s="2" t="s">
        <v>32</v>
      </c>
      <c r="H28" s="2" t="s">
        <v>65</v>
      </c>
      <c r="I28" s="2" t="s">
        <v>66</v>
      </c>
      <c r="J28" s="2" t="s">
        <v>57</v>
      </c>
      <c r="K28" s="2" t="s">
        <v>67</v>
      </c>
      <c r="L28" s="2" t="s">
        <v>68</v>
      </c>
      <c r="M28" s="2">
        <f>-15 / -10</f>
        <v>1.5</v>
      </c>
      <c r="N28" s="2" t="s">
        <v>49</v>
      </c>
      <c r="O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Leone</dc:creator>
  <cp:lastModifiedBy>Michele Leone</cp:lastModifiedBy>
  <dcterms:created xsi:type="dcterms:W3CDTF">2026-01-20T16:58:17Z</dcterms:created>
  <dcterms:modified xsi:type="dcterms:W3CDTF">2026-01-20T16:59:02Z</dcterms:modified>
</cp:coreProperties>
</file>